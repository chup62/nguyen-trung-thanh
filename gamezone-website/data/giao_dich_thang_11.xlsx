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aoDich" sheetId="1" r:id="rId5"/>
    <sheet state="visible" name="VatPham" sheetId="2" r:id="rId6"/>
  </sheets>
  <definedNames>
    <definedName hidden="1" localSheetId="0" name="_xlnm._FilterDatabase">GiaoDich!$A$1:$F$16</definedName>
  </definedNames>
  <calcPr/>
</workbook>
</file>

<file path=xl/sharedStrings.xml><?xml version="1.0" encoding="utf-8"?>
<sst xmlns="http://schemas.openxmlformats.org/spreadsheetml/2006/main" count="51" uniqueCount="33">
  <si>
    <t>ma_vp</t>
  </si>
  <si>
    <t>ma_gd</t>
  </si>
  <si>
    <t>ten_vp</t>
  </si>
  <si>
    <t>gia_xu</t>
  </si>
  <si>
    <t>sl_mua</t>
  </si>
  <si>
    <t>VP01</t>
  </si>
  <si>
    <t>Kiem Rong</t>
  </si>
  <si>
    <t>VP02</t>
  </si>
  <si>
    <t>Khien Bang</t>
  </si>
  <si>
    <t>VP03</t>
  </si>
  <si>
    <t>Binh May</t>
  </si>
  <si>
    <t>VP04</t>
  </si>
  <si>
    <t>thanh_tien</t>
  </si>
  <si>
    <t>Giay Toc Do</t>
  </si>
  <si>
    <t>GD001</t>
  </si>
  <si>
    <t>VP05</t>
  </si>
  <si>
    <t>Ao Giap Vang</t>
  </si>
  <si>
    <t>VP06</t>
  </si>
  <si>
    <t>Nhan Ma Thuat</t>
  </si>
  <si>
    <t>GD002</t>
  </si>
  <si>
    <t>GD003</t>
  </si>
  <si>
    <t>GD004</t>
  </si>
  <si>
    <t>GD005</t>
  </si>
  <si>
    <t>GD006</t>
  </si>
  <si>
    <t>GD007</t>
  </si>
  <si>
    <t>GD008</t>
  </si>
  <si>
    <t>GD009</t>
  </si>
  <si>
    <t>GD010</t>
  </si>
  <si>
    <t>GD011</t>
  </si>
  <si>
    <t>GD012</t>
  </si>
  <si>
    <t>GD013</t>
  </si>
  <si>
    <t>GD014</t>
  </si>
  <si>
    <t>GD015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</si>
</sst>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8.71"/>
    <col customWidth="1" min="5" max="5" width="10.86"/>
    <col customWidth="1" min="6" max="6" width="14.57"/>
    <col customWidth="1" min="7" max="26" width="8.71"/>
  </cols>
  <sheetData>
    <row r="1">
      <c r="A1" s="1" t="s">
        <v>1</v>
      </c>
      <c r="B1" s="1" t="s">
        <v>0</v>
      </c>
      <c r="C1" s="1" t="s">
        <v>4</v>
      </c>
      <c r="D1" s="2" t="s">
        <v>2</v>
      </c>
      <c r="E1" s="2" t="s">
        <v>3</v>
      </c>
      <c r="F1" s="2" t="s">
        <v>12</v>
      </c>
    </row>
    <row r="2" hidden="1">
      <c r="A2" s="1" t="s">
        <v>14</v>
      </c>
      <c r="B2" s="1" t="s">
        <v>15</v>
      </c>
      <c r="C2" s="1">
        <v>1.0</v>
      </c>
      <c r="D2" s="1" t="str">
        <f>VLOOKUP(B2, VatPham!$A:$C, 2, 0)</f>
        <v>Ao Giap Vang</v>
      </c>
      <c r="E2" s="1">
        <f>VLOOKUP(B2, VatPham!$A:$C, 3, 0)</f>
        <v>250000</v>
      </c>
      <c r="F2" s="1">
        <f t="shared" ref="F2:F16" si="1">C2 * E2</f>
        <v>250000</v>
      </c>
    </row>
    <row r="3" hidden="1">
      <c r="A3" s="1" t="s">
        <v>19</v>
      </c>
      <c r="B3" s="1" t="s">
        <v>17</v>
      </c>
      <c r="C3" s="1">
        <v>1.0</v>
      </c>
      <c r="D3" s="1" t="str">
        <f>VLOOKUP(B3, VatPham!$A:$C, 2, 0)</f>
        <v>Nhan Ma Thuat</v>
      </c>
      <c r="E3" s="1">
        <f>VLOOKUP(B3, VatPham!$A:$C, 3, 0)</f>
        <v>99000</v>
      </c>
      <c r="F3" s="1">
        <f t="shared" si="1"/>
        <v>99000</v>
      </c>
    </row>
    <row r="4">
      <c r="A4" s="1" t="s">
        <v>20</v>
      </c>
      <c r="B4" s="1" t="s">
        <v>11</v>
      </c>
      <c r="C4" s="1">
        <v>5.0</v>
      </c>
      <c r="D4" s="1" t="str">
        <f>VLOOKUP(B4, VatPham!$A:$C, 2, 0)</f>
        <v>Giay Toc Do</v>
      </c>
      <c r="E4" s="1">
        <f>VLOOKUP(B4, VatPham!$A:$C, 3, 0)</f>
        <v>150000</v>
      </c>
      <c r="F4" s="1">
        <f t="shared" si="1"/>
        <v>750000</v>
      </c>
    </row>
    <row r="5">
      <c r="A5" s="1" t="s">
        <v>21</v>
      </c>
      <c r="B5" s="1" t="s">
        <v>17</v>
      </c>
      <c r="C5" s="1">
        <v>5.0</v>
      </c>
      <c r="D5" s="1" t="str">
        <f>VLOOKUP(B5, VatPham!$A:$C, 2, 0)</f>
        <v>Nhan Ma Thuat</v>
      </c>
      <c r="E5" s="1">
        <f>VLOOKUP(B5, VatPham!$A:$C, 3, 0)</f>
        <v>99000</v>
      </c>
      <c r="F5" s="1">
        <f t="shared" si="1"/>
        <v>495000</v>
      </c>
    </row>
    <row r="6" hidden="1">
      <c r="A6" s="1" t="s">
        <v>22</v>
      </c>
      <c r="B6" s="1" t="s">
        <v>9</v>
      </c>
      <c r="C6" s="1">
        <v>3.0</v>
      </c>
      <c r="D6" s="1" t="str">
        <f>VLOOKUP(B6, VatPham!$A:$C, 2, 0)</f>
        <v>Binh May</v>
      </c>
      <c r="E6" s="1">
        <f>VLOOKUP(B6, VatPham!$A:$C, 3, 0)</f>
        <v>20000</v>
      </c>
      <c r="F6" s="1">
        <f t="shared" si="1"/>
        <v>60000</v>
      </c>
    </row>
    <row r="7">
      <c r="A7" s="1" t="s">
        <v>23</v>
      </c>
      <c r="B7" s="1" t="s">
        <v>17</v>
      </c>
      <c r="C7" s="1">
        <v>4.0</v>
      </c>
      <c r="D7" s="1" t="str">
        <f>VLOOKUP(B7, VatPham!$A:$C, 2, 0)</f>
        <v>Nhan Ma Thuat</v>
      </c>
      <c r="E7" s="1">
        <f>VLOOKUP(B7, VatPham!$A:$C, 3, 0)</f>
        <v>99000</v>
      </c>
      <c r="F7" s="1">
        <f t="shared" si="1"/>
        <v>396000</v>
      </c>
    </row>
    <row r="8">
      <c r="A8" s="1" t="s">
        <v>24</v>
      </c>
      <c r="B8" s="1" t="s">
        <v>11</v>
      </c>
      <c r="C8" s="1">
        <v>6.0</v>
      </c>
      <c r="D8" s="1" t="str">
        <f>VLOOKUP(B8, VatPham!$A:$C, 2, 0)</f>
        <v>Giay Toc Do</v>
      </c>
      <c r="E8" s="1">
        <f>VLOOKUP(B8, VatPham!$A:$C, 3, 0)</f>
        <v>150000</v>
      </c>
      <c r="F8" s="1">
        <f t="shared" si="1"/>
        <v>900000</v>
      </c>
    </row>
    <row r="9" hidden="1">
      <c r="A9" s="1" t="s">
        <v>25</v>
      </c>
      <c r="B9" s="1" t="s">
        <v>7</v>
      </c>
      <c r="C9" s="1">
        <v>1.0</v>
      </c>
      <c r="D9" s="1" t="str">
        <f>VLOOKUP(B9, VatPham!$A:$C, 2, 0)</f>
        <v>Khien Bang</v>
      </c>
      <c r="E9" s="1">
        <f>VLOOKUP(B9, VatPham!$A:$C, 3, 0)</f>
        <v>85000</v>
      </c>
      <c r="F9" s="1">
        <f t="shared" si="1"/>
        <v>85000</v>
      </c>
    </row>
    <row r="10" hidden="1">
      <c r="A10" s="1" t="s">
        <v>26</v>
      </c>
      <c r="B10" s="1" t="s">
        <v>9</v>
      </c>
      <c r="C10" s="1">
        <v>2.0</v>
      </c>
      <c r="D10" s="1" t="str">
        <f>VLOOKUP(B10, VatPham!$A:$C, 2, 0)</f>
        <v>Binh May</v>
      </c>
      <c r="E10" s="1">
        <f>VLOOKUP(B10, VatPham!$A:$C, 3, 0)</f>
        <v>20000</v>
      </c>
      <c r="F10" s="1">
        <f t="shared" si="1"/>
        <v>40000</v>
      </c>
    </row>
    <row r="11">
      <c r="A11" s="1" t="s">
        <v>27</v>
      </c>
      <c r="B11" s="1" t="s">
        <v>15</v>
      </c>
      <c r="C11" s="1">
        <v>4.0</v>
      </c>
      <c r="D11" s="1" t="str">
        <f>VLOOKUP(B11, VatPham!$A:$C, 2, 0)</f>
        <v>Ao Giap Vang</v>
      </c>
      <c r="E11" s="1">
        <f>VLOOKUP(B11, VatPham!$A:$C, 3, 0)</f>
        <v>250000</v>
      </c>
      <c r="F11" s="1">
        <f t="shared" si="1"/>
        <v>1000000</v>
      </c>
    </row>
    <row r="12">
      <c r="A12" s="1" t="s">
        <v>28</v>
      </c>
      <c r="B12" s="1" t="s">
        <v>11</v>
      </c>
      <c r="C12" s="1">
        <v>5.0</v>
      </c>
      <c r="D12" s="1" t="str">
        <f>VLOOKUP(B12, VatPham!$A:$C, 2, 0)</f>
        <v>Giay Toc Do</v>
      </c>
      <c r="E12" s="1">
        <f>VLOOKUP(B12, VatPham!$A:$C, 3, 0)</f>
        <v>150000</v>
      </c>
      <c r="F12" s="1">
        <f t="shared" si="1"/>
        <v>750000</v>
      </c>
    </row>
    <row r="13">
      <c r="A13" s="1" t="s">
        <v>29</v>
      </c>
      <c r="B13" s="1" t="s">
        <v>15</v>
      </c>
      <c r="C13" s="1">
        <v>2.0</v>
      </c>
      <c r="D13" s="1" t="str">
        <f>VLOOKUP(B13, VatPham!$A:$C, 2, 0)</f>
        <v>Ao Giap Vang</v>
      </c>
      <c r="E13" s="1">
        <f>VLOOKUP(B13, VatPham!$A:$C, 3, 0)</f>
        <v>250000</v>
      </c>
      <c r="F13" s="1">
        <f t="shared" si="1"/>
        <v>500000</v>
      </c>
    </row>
    <row r="14" hidden="1">
      <c r="A14" s="1" t="s">
        <v>30</v>
      </c>
      <c r="B14" s="1" t="s">
        <v>5</v>
      </c>
      <c r="C14" s="1">
        <v>1.0</v>
      </c>
      <c r="D14" s="1" t="str">
        <f>VLOOKUP(B14, VatPham!$A:$C, 2, 0)</f>
        <v>Kiem Rong</v>
      </c>
      <c r="E14" s="1">
        <f>VLOOKUP(B14, VatPham!$A:$C, 3, 0)</f>
        <v>120000</v>
      </c>
      <c r="F14" s="1">
        <f t="shared" si="1"/>
        <v>120000</v>
      </c>
    </row>
    <row r="15" hidden="1">
      <c r="A15" s="1" t="s">
        <v>31</v>
      </c>
      <c r="B15" s="1" t="s">
        <v>5</v>
      </c>
      <c r="C15" s="1">
        <v>2.0</v>
      </c>
      <c r="D15" s="1" t="str">
        <f>VLOOKUP(B15, VatPham!$A:$C, 2, 0)</f>
        <v>Kiem Rong</v>
      </c>
      <c r="E15" s="1">
        <f>VLOOKUP(B15, VatPham!$A:$C, 3, 0)</f>
        <v>120000</v>
      </c>
      <c r="F15" s="1">
        <f t="shared" si="1"/>
        <v>240000</v>
      </c>
    </row>
    <row r="16">
      <c r="A16" s="1" t="s">
        <v>32</v>
      </c>
      <c r="B16" s="1" t="s">
        <v>15</v>
      </c>
      <c r="C16" s="1">
        <v>5.0</v>
      </c>
      <c r="D16" s="1" t="str">
        <f>VLOOKUP(B16, VatPham!$A:$C, 2, 0)</f>
        <v>Ao Giap Vang</v>
      </c>
      <c r="E16" s="1">
        <f>VLOOKUP(B16, VatPham!$A:$C, 3, 0)</f>
        <v>250000</v>
      </c>
      <c r="F16" s="1">
        <f t="shared" si="1"/>
        <v>1250000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6">
    <filterColumn colId="5">
      <customFilters>
        <customFilter operator="greaterThanOrEqual" val="300000"/>
      </custom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</row>
    <row r="2">
      <c r="A2" s="1" t="s">
        <v>5</v>
      </c>
      <c r="B2" s="1" t="s">
        <v>6</v>
      </c>
      <c r="C2" s="1">
        <v>120000.0</v>
      </c>
    </row>
    <row r="3">
      <c r="A3" s="1" t="s">
        <v>7</v>
      </c>
      <c r="B3" s="1" t="s">
        <v>8</v>
      </c>
      <c r="C3" s="1">
        <v>85000.0</v>
      </c>
    </row>
    <row r="4">
      <c r="A4" s="1" t="s">
        <v>9</v>
      </c>
      <c r="B4" s="1" t="s">
        <v>10</v>
      </c>
      <c r="C4" s="1">
        <v>20000.0</v>
      </c>
    </row>
    <row r="5">
      <c r="A5" s="1" t="s">
        <v>11</v>
      </c>
      <c r="B5" s="1" t="s">
        <v>13</v>
      </c>
      <c r="C5" s="1">
        <v>150000.0</v>
      </c>
    </row>
    <row r="6">
      <c r="A6" s="1" t="s">
        <v>15</v>
      </c>
      <c r="B6" s="1" t="s">
        <v>16</v>
      </c>
      <c r="C6" s="1">
        <v>250000.0</v>
      </c>
    </row>
    <row r="7">
      <c r="A7" s="1" t="s">
        <v>17</v>
      </c>
      <c r="B7" s="1" t="s">
        <v>18</v>
      </c>
      <c r="C7" s="1">
        <v>99000.0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